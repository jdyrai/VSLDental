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/>
  <mc:AlternateContent xmlns:mc="http://schemas.openxmlformats.org/markup-compatibility/2006">
    <mc:Choice Requires="x15">
      <x15ac:absPath xmlns:x15ac="http://schemas.microsoft.com/office/spreadsheetml/2010/11/ac" url="/Users/abelbucad/Documents/Lecture/HCI/Week 5/"/>
    </mc:Choice>
  </mc:AlternateContent>
  <xr:revisionPtr revIDLastSave="0" documentId="13_ncr:1_{F947FFDE-FB61-9D4E-85C5-0BD79EDA5B28}" xr6:coauthVersionLast="47" xr6:coauthVersionMax="47" xr10:uidLastSave="{00000000-0000-0000-0000-000000000000}"/>
  <bookViews>
    <workbookView xWindow="0" yWindow="500" windowWidth="28800" windowHeight="161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8" i="1" l="1"/>
  <c r="M8" i="1" s="1"/>
  <c r="L7" i="1"/>
  <c r="M7" i="1" s="1"/>
  <c r="L6" i="1"/>
  <c r="M6" i="1" s="1"/>
  <c r="L5" i="1"/>
  <c r="M5" i="1" s="1"/>
  <c r="L4" i="1"/>
  <c r="M4" i="1" s="1"/>
  <c r="L3" i="1"/>
  <c r="M3" i="1" s="1"/>
  <c r="Q11" i="1" l="1"/>
  <c r="Q12" i="1" s="1"/>
  <c r="Q13" i="1" l="1"/>
</calcChain>
</file>

<file path=xl/sharedStrings.xml><?xml version="1.0" encoding="utf-8"?>
<sst xmlns="http://schemas.openxmlformats.org/spreadsheetml/2006/main" count="19" uniqueCount="19">
  <si>
    <r>
      <rPr>
        <b/>
        <sz val="19"/>
        <rFont val="Nunito"/>
      </rPr>
      <t>Created by</t>
    </r>
    <r>
      <rPr>
        <b/>
        <sz val="19"/>
        <color rgb="FFF1C232"/>
        <rFont val="Nunito"/>
      </rPr>
      <t xml:space="preserve"> </t>
    </r>
    <r>
      <rPr>
        <b/>
        <u/>
        <sz val="19"/>
        <color rgb="FFD3910C"/>
        <rFont val="Nunito"/>
      </rPr>
      <t>UXtweak</t>
    </r>
    <r>
      <rPr>
        <b/>
        <sz val="19"/>
        <rFont val="Nunito"/>
      </rPr>
      <t xml:space="preserve"> 🔧🐝</t>
    </r>
  </si>
  <si>
    <t>Respondent</t>
  </si>
  <si>
    <t>Q1: I think that I would like to use this system frequently.</t>
  </si>
  <si>
    <t>Q2: I found the system unnecessarily complex.</t>
  </si>
  <si>
    <t>Q3: I thought the system was easy to use.</t>
  </si>
  <si>
    <t>Q4: I think that I would need the support of a technical person to be able to use this system.</t>
  </si>
  <si>
    <t>Q5: I found the various functions in this system were well-integrated.</t>
  </si>
  <si>
    <t>Q6: I thought there was too much inconsistency in this system.</t>
  </si>
  <si>
    <t>Q7: I would imagine that most people would learn to use this system very quickly.</t>
  </si>
  <si>
    <t>Q8: I found the system very cumbersome to use.</t>
  </si>
  <si>
    <t>Q9: I felt very confident using the system.</t>
  </si>
  <si>
    <t>Q10: I needed to learn a lot of things before I could get going with this system.</t>
  </si>
  <si>
    <t>SUS Raw Score</t>
  </si>
  <si>
    <t>SUS Final score</t>
  </si>
  <si>
    <r>
      <rPr>
        <b/>
        <sz val="12"/>
        <rFont val="Nunito"/>
      </rPr>
      <t xml:space="preserve">*For a deeper explanation, read our article, </t>
    </r>
    <r>
      <rPr>
        <b/>
        <u/>
        <sz val="12"/>
        <color rgb="FFD3910C"/>
        <rFont val="Nunito"/>
      </rPr>
      <t>System Usability Scale (SUS) Practical Guide.</t>
    </r>
  </si>
  <si>
    <t>Your SUS score is:</t>
  </si>
  <si>
    <t>Your  Grade is:</t>
  </si>
  <si>
    <t>Your Rank is:</t>
  </si>
  <si>
    <r>
      <rPr>
        <sz val="14"/>
        <rFont val="Nunito"/>
      </rPr>
      <t xml:space="preserve">Do you want to know how you can interpret the results? </t>
    </r>
    <r>
      <rPr>
        <b/>
        <u/>
        <sz val="14"/>
        <color rgb="FFD3910C"/>
        <rFont val="Nunito"/>
      </rPr>
      <t>Click here!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</si>
</sst>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0"/>
      <color rgb="FF000000"/>
      <name val="Arial"/>
      <scheme val="minor"/>
    </font>
    <font>
      <b/>
      <u/>
      <sz val="19"/>
      <color rgb="FF0000FF"/>
      <name val="Nunito"/>
    </font>
    <font>
      <sz val="11"/>
      <color rgb="FF000000"/>
      <name val="&quot;Aptos Narrow&quot;"/>
    </font>
    <font>
      <b/>
      <sz val="12"/>
      <color rgb="FFFFFFFF"/>
      <name val="Nunito"/>
    </font>
    <font>
      <sz val="10"/>
      <color theme="1"/>
      <name val="Nunito"/>
    </font>
    <font>
      <sz val="10"/>
      <color theme="1"/>
      <name val="Arial"/>
      <scheme val="minor"/>
    </font>
    <font>
      <sz val="12"/>
      <color rgb="FF000000"/>
      <name val="Nunito"/>
    </font>
    <font>
      <b/>
      <u/>
      <sz val="12"/>
      <color rgb="FF0000FF"/>
      <name val="Nunito"/>
    </font>
    <font>
      <b/>
      <sz val="15"/>
      <color theme="1"/>
      <name val="Nunito"/>
    </font>
    <font>
      <b/>
      <sz val="15"/>
      <color rgb="FF000000"/>
      <name val="Nunito"/>
    </font>
    <font>
      <u/>
      <sz val="14"/>
      <color rgb="FF0000FF"/>
      <name val="Nunito"/>
    </font>
    <font>
      <b/>
      <sz val="19"/>
      <name val="Nunito"/>
    </font>
    <font>
      <b/>
      <sz val="19"/>
      <color rgb="FFF1C232"/>
      <name val="Nunito"/>
    </font>
    <font>
      <b/>
      <u/>
      <sz val="19"/>
      <color rgb="FFD3910C"/>
      <name val="Nunito"/>
    </font>
    <font>
      <b/>
      <sz val="12"/>
      <name val="Nunito"/>
    </font>
    <font>
      <b/>
      <u/>
      <sz val="12"/>
      <color rgb="FFD3910C"/>
      <name val="Nunito"/>
    </font>
    <font>
      <sz val="14"/>
      <name val="Nunito"/>
    </font>
    <font>
      <b/>
      <u/>
      <sz val="14"/>
      <color rgb="FFD3910C"/>
      <name val="Nunito"/>
    </font>
  </fonts>
  <fills count="5">
    <fill>
      <patternFill patternType="none"/>
    </fill>
    <fill>
      <patternFill patternType="gray125"/>
    </fill>
    <fill>
      <patternFill patternType="solid">
        <fgColor rgb="FFFFAF0F"/>
        <bgColor rgb="FFFFAF0F"/>
      </patternFill>
    </fill>
    <fill>
      <patternFill patternType="solid">
        <fgColor rgb="FFFFF9EE"/>
        <bgColor rgb="FFFFF9EE"/>
      </patternFill>
    </fill>
    <fill>
      <patternFill patternType="solid">
        <fgColor rgb="FFF0C002"/>
        <bgColor rgb="FFF0C00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/>
    <xf numFmtId="0" fontId="3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3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0" fontId="4" fillId="0" borderId="0" xfId="0" applyFont="1"/>
    <xf numFmtId="1" fontId="9" fillId="4" borderId="0" xfId="0" applyNumberFormat="1" applyFont="1" applyFill="1" applyAlignment="1">
      <alignment horizontal="center"/>
    </xf>
    <xf numFmtId="0" fontId="8" fillId="4" borderId="0" xfId="0" applyFont="1" applyFill="1" applyAlignment="1">
      <alignment horizontal="center"/>
    </xf>
    <xf numFmtId="0" fontId="8" fillId="4" borderId="0" xfId="0" applyFont="1" applyFill="1" applyAlignment="1">
      <alignment horizontal="center" vertical="center"/>
    </xf>
    <xf numFmtId="0" fontId="1" fillId="0" borderId="0" xfId="0" applyFont="1"/>
    <xf numFmtId="0" fontId="0" fillId="0" borderId="0" xfId="0"/>
    <xf numFmtId="0" fontId="2" fillId="0" borderId="0" xfId="0" applyFont="1"/>
    <xf numFmtId="0" fontId="7" fillId="0" borderId="0" xfId="0" applyFont="1"/>
    <xf numFmtId="0" fontId="8" fillId="0" borderId="0" xfId="0" applyFont="1"/>
    <xf numFmtId="0" fontId="10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171450</xdr:colOff>
      <xdr:row>0</xdr:row>
      <xdr:rowOff>180975</xdr:rowOff>
    </xdr:from>
    <xdr:ext cx="3152775" cy="3286125"/>
    <xdr:pic>
      <xdr:nvPicPr>
        <xdr:cNvPr id="2" name="image3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657225</xdr:colOff>
      <xdr:row>8</xdr:row>
      <xdr:rowOff>123825</xdr:rowOff>
    </xdr:from>
    <xdr:ext cx="3152775" cy="2209800"/>
    <xdr:pic>
      <xdr:nvPicPr>
        <xdr:cNvPr id="3" name="image2.png" title="Imag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114300</xdr:colOff>
      <xdr:row>0</xdr:row>
      <xdr:rowOff>66675</xdr:rowOff>
    </xdr:from>
    <xdr:ext cx="1638300" cy="371475"/>
    <xdr:pic>
      <xdr:nvPicPr>
        <xdr:cNvPr id="4" name="image1.jpg" title="Imag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blog.uxtweak.com/system-usability-scale/" TargetMode="External"/><Relationship Id="rId2" Type="http://schemas.openxmlformats.org/officeDocument/2006/relationships/hyperlink" Target="https://blog.uxtweak.com/system-usability-scale/" TargetMode="External"/><Relationship Id="rId1" Type="http://schemas.openxmlformats.org/officeDocument/2006/relationships/hyperlink" Target="https://www.uxtweak.com/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33"/>
  <sheetViews>
    <sheetView tabSelected="1" workbookViewId="0">
      <selection activeCell="J5" sqref="J5"/>
    </sheetView>
  </sheetViews>
  <sheetFormatPr baseColWidth="10" defaultColWidth="12.6640625" defaultRowHeight="15.75" customHeight="1"/>
  <cols>
    <col min="2" max="10" width="12.6640625" customWidth="1"/>
    <col min="11" max="11" width="14.6640625" customWidth="1"/>
    <col min="12" max="13" width="12.6640625" customWidth="1"/>
  </cols>
  <sheetData>
    <row r="1" spans="1:26" ht="45.75" customHeight="1">
      <c r="A1" s="11" t="s">
        <v>0</v>
      </c>
      <c r="B1" s="12"/>
      <c r="C1" s="12"/>
      <c r="E1" s="1"/>
      <c r="F1" s="1"/>
      <c r="G1" s="1"/>
      <c r="H1" s="1"/>
      <c r="I1" s="1"/>
      <c r="J1" s="1"/>
      <c r="L1" s="13"/>
      <c r="M1" s="12"/>
    </row>
    <row r="2" spans="1:26" ht="17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3"/>
      <c r="O2" s="3"/>
      <c r="P2" s="3"/>
      <c r="Q2" s="3"/>
      <c r="R2" s="3"/>
      <c r="S2" s="3"/>
      <c r="T2" s="4"/>
      <c r="U2" s="4"/>
      <c r="V2" s="4"/>
      <c r="W2" s="4"/>
      <c r="X2" s="4"/>
      <c r="Y2" s="4"/>
      <c r="Z2" s="4"/>
    </row>
    <row r="3" spans="1:26" ht="18">
      <c r="A3" s="5">
        <v>1</v>
      </c>
      <c r="B3" s="6">
        <v>4</v>
      </c>
      <c r="C3" s="6">
        <v>3</v>
      </c>
      <c r="D3" s="6">
        <v>3</v>
      </c>
      <c r="E3" s="6">
        <v>2</v>
      </c>
      <c r="F3" s="6">
        <v>5</v>
      </c>
      <c r="G3" s="6">
        <v>4</v>
      </c>
      <c r="H3" s="6">
        <v>4</v>
      </c>
      <c r="I3" s="6">
        <v>4</v>
      </c>
      <c r="J3" s="6">
        <v>2</v>
      </c>
      <c r="K3" s="6">
        <v>1</v>
      </c>
      <c r="L3" s="5">
        <f t="shared" ref="L3:L8" si="0">(B3-1)+(5-C3)+(D3-1)+(5-E3)+(F3-1)+(5-G3)+(H3-1)+(5-I3)+(J3-1)+(5-K3)</f>
        <v>24</v>
      </c>
      <c r="M3" s="5">
        <f t="shared" ref="M3:M8" si="1">L3*2.5</f>
        <v>60</v>
      </c>
      <c r="N3" s="7"/>
      <c r="O3" s="7"/>
      <c r="P3" s="7"/>
      <c r="Q3" s="7"/>
      <c r="R3" s="7"/>
      <c r="S3" s="7"/>
    </row>
    <row r="4" spans="1:26" ht="18">
      <c r="A4" s="5">
        <v>2</v>
      </c>
      <c r="B4" s="6">
        <v>4</v>
      </c>
      <c r="C4" s="6">
        <v>4</v>
      </c>
      <c r="D4" s="6">
        <v>4</v>
      </c>
      <c r="E4" s="6">
        <v>3</v>
      </c>
      <c r="F4" s="6">
        <v>4</v>
      </c>
      <c r="G4" s="6">
        <v>5</v>
      </c>
      <c r="H4" s="6">
        <v>5</v>
      </c>
      <c r="I4" s="6">
        <v>4</v>
      </c>
      <c r="J4" s="6">
        <v>1</v>
      </c>
      <c r="K4" s="6">
        <v>2</v>
      </c>
      <c r="L4" s="5">
        <f t="shared" si="0"/>
        <v>20</v>
      </c>
      <c r="M4" s="5">
        <f t="shared" si="1"/>
        <v>50</v>
      </c>
      <c r="N4" s="7"/>
      <c r="O4" s="7"/>
      <c r="P4" s="7"/>
      <c r="Q4" s="7"/>
      <c r="R4" s="7"/>
      <c r="S4" s="7"/>
    </row>
    <row r="5" spans="1:26" ht="18">
      <c r="A5" s="5">
        <v>3</v>
      </c>
      <c r="B5" s="6"/>
      <c r="C5" s="6"/>
      <c r="D5" s="6"/>
      <c r="E5" s="6"/>
      <c r="F5" s="6"/>
      <c r="G5" s="6"/>
      <c r="H5" s="6"/>
      <c r="I5" s="6"/>
      <c r="J5" s="6"/>
      <c r="K5" s="6"/>
      <c r="L5" s="5">
        <f t="shared" si="0"/>
        <v>20</v>
      </c>
      <c r="M5" s="5">
        <f t="shared" si="1"/>
        <v>50</v>
      </c>
      <c r="N5" s="7"/>
      <c r="R5" s="7"/>
      <c r="S5" s="7"/>
    </row>
    <row r="6" spans="1:26" ht="18">
      <c r="A6" s="5">
        <v>4</v>
      </c>
      <c r="B6" s="6"/>
      <c r="C6" s="6"/>
      <c r="D6" s="6"/>
      <c r="E6" s="6"/>
      <c r="F6" s="6"/>
      <c r="G6" s="6"/>
      <c r="H6" s="6"/>
      <c r="I6" s="6"/>
      <c r="J6" s="6"/>
      <c r="K6" s="6"/>
      <c r="L6" s="5">
        <f t="shared" si="0"/>
        <v>20</v>
      </c>
      <c r="M6" s="5">
        <f t="shared" si="1"/>
        <v>50</v>
      </c>
      <c r="N6" s="7"/>
      <c r="R6" s="7"/>
      <c r="S6" s="7"/>
    </row>
    <row r="7" spans="1:26" ht="18">
      <c r="A7" s="5">
        <v>5</v>
      </c>
      <c r="B7" s="6"/>
      <c r="C7" s="6"/>
      <c r="D7" s="6"/>
      <c r="E7" s="6"/>
      <c r="F7" s="6"/>
      <c r="G7" s="6"/>
      <c r="H7" s="6"/>
      <c r="I7" s="6"/>
      <c r="J7" s="6"/>
      <c r="K7" s="6"/>
      <c r="L7" s="5">
        <f t="shared" si="0"/>
        <v>20</v>
      </c>
      <c r="M7" s="5">
        <f t="shared" si="1"/>
        <v>50</v>
      </c>
      <c r="N7" s="7"/>
      <c r="R7" s="7"/>
      <c r="S7" s="7"/>
    </row>
    <row r="8" spans="1:26" ht="18">
      <c r="A8" s="5">
        <v>6</v>
      </c>
      <c r="B8" s="6"/>
      <c r="C8" s="6"/>
      <c r="D8" s="6"/>
      <c r="E8" s="6"/>
      <c r="F8" s="6"/>
      <c r="G8" s="6"/>
      <c r="H8" s="6"/>
      <c r="I8" s="6"/>
      <c r="J8" s="6"/>
      <c r="K8" s="6"/>
      <c r="L8" s="5">
        <f t="shared" si="0"/>
        <v>20</v>
      </c>
      <c r="M8" s="5">
        <f t="shared" si="1"/>
        <v>50</v>
      </c>
      <c r="N8" s="7"/>
      <c r="R8" s="7"/>
      <c r="S8" s="7"/>
    </row>
    <row r="9" spans="1:26" ht="18">
      <c r="A9" s="14" t="s">
        <v>14</v>
      </c>
      <c r="B9" s="12"/>
      <c r="C9" s="12"/>
      <c r="D9" s="12"/>
      <c r="E9" s="12"/>
      <c r="F9" s="12"/>
      <c r="G9" s="12"/>
      <c r="H9" s="12"/>
      <c r="I9" s="12"/>
      <c r="J9" s="12"/>
      <c r="K9" s="12"/>
      <c r="L9" s="7"/>
      <c r="M9" s="7"/>
      <c r="N9" s="7"/>
      <c r="R9" s="7"/>
      <c r="S9" s="7"/>
    </row>
    <row r="10" spans="1:26" ht="14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R10" s="7"/>
      <c r="S10" s="7"/>
    </row>
    <row r="11" spans="1:26" ht="23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15" t="s">
        <v>15</v>
      </c>
      <c r="P11" s="12"/>
      <c r="Q11" s="8">
        <f>AVERAGE(M3:M8)</f>
        <v>51.666666666666664</v>
      </c>
      <c r="R11" s="7"/>
      <c r="S11" s="7"/>
    </row>
    <row r="12" spans="1:26" ht="23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15" t="s">
        <v>16</v>
      </c>
      <c r="P12" s="12"/>
      <c r="Q12" s="9" t="str">
        <f>IF(OR(Q11&lt;0, Q11&gt;100), "incorrect calculation", IF(Q11&gt;=84.1, "A+", IF(Q11&gt;=80.8, "A", IF(Q11&gt;=78.9, "A-", IF(Q11&gt;=77.2, "B+", IF(Q11&gt;=74.1, "B", IF(Q11&gt;=72.6, "B-", IF(Q11&gt;=71.1, "C+", IF(Q11&gt;=65, "C", IF(Q11&gt;=62.7, "C-", IF(Q11&gt;=51.7, "D", "F")))))))))))</f>
        <v>F</v>
      </c>
      <c r="R12" s="7"/>
      <c r="S12" s="7"/>
    </row>
    <row r="13" spans="1:26" ht="23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15" t="s">
        <v>17</v>
      </c>
      <c r="P13" s="12"/>
      <c r="Q13" s="10" t="str">
        <f>IF(OR(Q11&lt;0, Q11&gt;100), "incorrect calculation", IF(Q11&gt;=84.1, "A+ (Best imaginable)", IF(Q11&gt;=80.8, "A (Spectacular)", IF(Q11&gt;=78.9, "A- (Spectacular)", IF(Q11&gt;=77.2, "B+ (Excellent)", IF(Q11&gt;=74.1, "B (Excellent)", IF(Q11&gt;=72.6, "B- (Excellent)", IF(Q11&gt;=71.1, "C+ (Good)", IF(Q11&gt;=65, "C (Good)", IF(Q11&gt;=62.7, "C- (Good)", IF(Q11&gt;=51.7, "D (Okay)", "F (Poor)")))))))))))</f>
        <v>F (Poor)</v>
      </c>
      <c r="R13" s="7"/>
      <c r="S13" s="7"/>
    </row>
    <row r="14" spans="1:26" ht="14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</row>
    <row r="15" spans="1:26" ht="14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16" t="s">
        <v>18</v>
      </c>
      <c r="P15" s="12"/>
      <c r="Q15" s="12"/>
      <c r="R15" s="12"/>
      <c r="S15" s="7"/>
    </row>
    <row r="16" spans="1:26" ht="14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12"/>
      <c r="P16" s="12"/>
      <c r="Q16" s="12"/>
      <c r="R16" s="12"/>
      <c r="S16" s="7"/>
    </row>
    <row r="17" spans="1:19" ht="14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S17" s="7"/>
    </row>
    <row r="18" spans="1:19" ht="14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</row>
    <row r="19" spans="1:19" ht="14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</row>
    <row r="20" spans="1:19" ht="14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</row>
    <row r="21" spans="1:19" ht="14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</row>
    <row r="22" spans="1:19" ht="14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N22" s="7"/>
      <c r="O22" s="7"/>
      <c r="P22" s="7"/>
      <c r="Q22" s="7"/>
      <c r="R22" s="7"/>
      <c r="S22" s="7"/>
    </row>
    <row r="23" spans="1:19" ht="14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</row>
    <row r="24" spans="1:19" ht="14">
      <c r="A24" s="7"/>
      <c r="B24" s="7"/>
      <c r="C24" s="7"/>
      <c r="D24" s="7"/>
      <c r="E24" s="7"/>
      <c r="F24" s="7"/>
      <c r="G24" s="7"/>
      <c r="H24" s="7"/>
      <c r="I24" s="7"/>
      <c r="J24" s="7"/>
      <c r="N24" s="7"/>
      <c r="O24" s="7"/>
      <c r="P24" s="7"/>
      <c r="Q24" s="7"/>
      <c r="R24" s="7"/>
      <c r="S24" s="7"/>
    </row>
    <row r="25" spans="1:19" ht="14">
      <c r="A25" s="7"/>
      <c r="B25" s="7"/>
      <c r="C25" s="7"/>
      <c r="D25" s="7"/>
      <c r="E25" s="7"/>
      <c r="F25" s="7"/>
      <c r="G25" s="7"/>
      <c r="H25" s="7"/>
      <c r="I25" s="7"/>
      <c r="J25" s="7"/>
      <c r="N25" s="7"/>
      <c r="O25" s="7"/>
      <c r="P25" s="7"/>
      <c r="Q25" s="7"/>
      <c r="R25" s="7"/>
      <c r="S25" s="7"/>
    </row>
    <row r="26" spans="1:19" ht="14">
      <c r="A26" s="7"/>
      <c r="B26" s="7"/>
      <c r="C26" s="7"/>
      <c r="D26" s="7"/>
      <c r="E26" s="7"/>
      <c r="F26" s="7"/>
      <c r="G26" s="7"/>
      <c r="H26" s="7"/>
      <c r="I26" s="7"/>
      <c r="J26" s="7"/>
      <c r="N26" s="7"/>
      <c r="O26" s="7"/>
      <c r="P26" s="7"/>
      <c r="Q26" s="7"/>
      <c r="R26" s="7"/>
      <c r="S26" s="7"/>
    </row>
    <row r="27" spans="1:19" ht="14"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</row>
    <row r="28" spans="1:19" ht="14"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</row>
    <row r="29" spans="1:19" ht="14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</row>
    <row r="30" spans="1:19" ht="14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</row>
    <row r="31" spans="1:19" ht="14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</row>
    <row r="32" spans="1:19" ht="14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</row>
    <row r="33" spans="1:19" ht="14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</row>
  </sheetData>
  <mergeCells count="7">
    <mergeCell ref="O13:P13"/>
    <mergeCell ref="O15:R16"/>
    <mergeCell ref="A1:C1"/>
    <mergeCell ref="L1:M1"/>
    <mergeCell ref="A9:K9"/>
    <mergeCell ref="O11:P11"/>
    <mergeCell ref="O12:P12"/>
  </mergeCells>
  <hyperlinks>
    <hyperlink ref="A1" r:id="rId1" xr:uid="{00000000-0004-0000-0000-000000000000}"/>
    <hyperlink ref="A9" r:id="rId2" xr:uid="{00000000-0004-0000-0000-000001000000}"/>
    <hyperlink ref="O15" r:id="rId3" location="h-how-to-interpret-sus-scores" xr:uid="{00000000-0004-0000-0000-000002000000}"/>
  </hyperlinks>
  <pageMargins left="0.7" right="0.7" top="0.75" bottom="0.75" header="0.3" footer="0.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2025-10-20T08:27:31Z</dcterms:modified>
</cp:coreProperties>
</file>